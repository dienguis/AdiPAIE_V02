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Instructions" sheetId="1" state="visible" r:id="rId3"/>
    <sheet name="📝 Grille" sheetId="2" state="visible" r:id="rId4"/>
    <sheet name="🧮 Cas pratiques" sheetId="3" state="visible" r:id="rId5"/>
    <sheet name="📊 Synthès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<sst xmlns="http://schemas.openxmlformats.org/spreadsheetml/2006/main" count="158" uniqueCount="136">
  <si>
    <t xml:space="preserve">Grille d'analyse — Primes exceptionnelles &amp; 13ième mois</t>
  </si>
  <si>
    <t xml:space="preserve">ELTON Oil Company / DSI — Cadrage V1.7.2 SunuPaie</t>
  </si>
  <si>
    <t xml:space="preserve">Objet</t>
  </si>
  <si>
    <t xml:space="preserve">Recueillir les règles métier ELTON pour le paiement des primes exceptionnelles (2,5 - 3 mois de salaire) et du 13ième mois, afin de paramétrer correctement le module Paie V1.7.2 de SunuPaie.</t>
  </si>
  <si>
    <t xml:space="preserve">Destinataires</t>
  </si>
  <si>
    <t xml:space="preserve">RRH ELTON + DAF ELTON (validation conjointe)</t>
  </si>
  <si>
    <t xml:space="preserve">Mode d'emploi</t>
  </si>
  <si>
    <t xml:space="preserve">1.</t>
  </si>
  <si>
    <t xml:space="preserve">Onglet 'Grille' : répondre aux 18 questions (colonne 'Réponse RH').</t>
  </si>
  <si>
    <t xml:space="preserve">2.</t>
  </si>
  <si>
    <t xml:space="preserve">Certaines questions ont des options dans une liste déroulante. Sélectionner l'option qui s'applique.</t>
  </si>
  <si>
    <t xml:space="preserve">3.</t>
  </si>
  <si>
    <t xml:space="preserve">Pour les questions ouvertes, saisir la réponse libre. Ajouter une justification si pertinent.</t>
  </si>
  <si>
    <t xml:space="preserve">4.</t>
  </si>
  <si>
    <t xml:space="preserve">Onglet 'Cas pratiques' : valider l'interprétation avec 4 cas chiffrés. Renseigner le montant attendu.</t>
  </si>
  <si>
    <t xml:space="preserve">5.</t>
  </si>
  <si>
    <t xml:space="preserve">Onglet 'Synthèse' : récapitulatif visuel — ne pas modifier (auto-calculé).</t>
  </si>
  <si>
    <t xml:space="preserve">6.</t>
  </si>
  <si>
    <t xml:space="preserve">Retourner le fichier rempli à la DSI : dienguis@elton.sn</t>
  </si>
  <si>
    <t xml:space="preserve">Légende couleurs</t>
  </si>
  <si>
    <t xml:space="preserve">Cellules à remplir</t>
  </si>
  <si>
    <t xml:space="preserve">Saisir vos réponses dans les cases jaunes.</t>
  </si>
  <si>
    <t xml:space="preserve">Validations conditionnelles</t>
  </si>
  <si>
    <t xml:space="preserve">Listes déroulantes pour choisir parmi des options prédéfinies.</t>
  </si>
  <si>
    <t xml:space="preserve">Grille de cadrage — Primes exceptionnelles &amp; 13ième mois</t>
  </si>
  <si>
    <t xml:space="preserve">N°</t>
  </si>
  <si>
    <t xml:space="preserve">Thème</t>
  </si>
  <si>
    <t xml:space="preserve">Question</t>
  </si>
  <si>
    <t xml:space="preserve">Options proposées</t>
  </si>
  <si>
    <t xml:space="preserve">Réponse RH</t>
  </si>
  <si>
    <t xml:space="preserve">Justification / précisions</t>
  </si>
  <si>
    <t xml:space="preserve">13IEME MOIS — DROIT</t>
  </si>
  <si>
    <t xml:space="preserve">Le 13ième mois est-il un droit conventionnel applicable à tous les salariés ELTON ?</t>
  </si>
  <si>
    <t xml:space="preserve">OUI - Convention collective ; OUI - Accord d'entreprise ; NON - Discrétionnaire (décision DG) ; AUTRE - à préciser</t>
  </si>
  <si>
    <t xml:space="preserve">Si OUI, à partir de quelle ancienneté le salarié y a-t-il droit ?</t>
  </si>
  <si>
    <t xml:space="preserve">0 mois (dès embauche) ; 6 mois ; 12 mois ; AUTRE - à préciser</t>
  </si>
  <si>
    <t xml:space="preserve">Un salarié qui quitte l'entreprise en cours d'année a-t-il droit à un prorata sur son solde de tout compte ?</t>
  </si>
  <si>
    <t xml:space="preserve">OUI - prorata exact (X/12) ; OUI - seuil minimum (ex: 6 mois travaillés) ; NON - droit perdu</t>
  </si>
  <si>
    <t xml:space="preserve">13IEME MOIS — CALCUL</t>
  </si>
  <si>
    <t xml:space="preserve">Sur quelle base calcule-t-on le 13ième mois ?</t>
  </si>
  <si>
    <t xml:space="preserve">Salaire de base (Catégorie x Echelon) ; Salaire brut total du dernier mois ; Moyenne des 12 derniers mois brut ; Moyenne des 3 derniers mois brut ; AUTRE - à préciser</t>
  </si>
  <si>
    <t xml:space="preserve">Quel est le multiplicateur ? (1 mois = 100 %)</t>
  </si>
  <si>
    <t xml:space="preserve">1 mois (100 %) ; 0,5 mois (50 %) ; AUTRE - à préciser</t>
  </si>
  <si>
    <t xml:space="preserve">13IEME MOIS — VERSEMENT</t>
  </si>
  <si>
    <t xml:space="preserve">À quelle date est versé le 13ième mois ?</t>
  </si>
  <si>
    <t xml:space="preserve">Avec le bulletin de décembre ; Avec le bulletin de novembre ; Scindé : ½ juin + ½ décembre ; AUTRE - à préciser</t>
  </si>
  <si>
    <t xml:space="preserve">13IEME MOIS — FISCALITE</t>
  </si>
  <si>
    <t xml:space="preserve">Le 13ième mois est-il intégralement soumis à : IR, CSS, IPRES, IPM ?</t>
  </si>
  <si>
    <t xml:space="preserve">OUI - tout soumis ; NON - exonération partielle (à préciser) ; AUTRE - à préciser</t>
  </si>
  <si>
    <t xml:space="preserve">Faut-il lisser fiscalement le 13ième mois sur les 12 mois suivants pour éviter de pénaliser le salarié sur l'IR ?</t>
  </si>
  <si>
    <t xml:space="preserve">OUI - lissage IR systématique ; NON - imposition au mois de versement ; OPTIONNEL - au choix du salarié</t>
  </si>
  <si>
    <t xml:space="preserve">13IEME MOIS — COMPTABILITE</t>
  </si>
  <si>
    <t xml:space="preserve">Faut-il provisionner mensuellement (1/12 chaque mois) en charge comptable, ou imputer la charge totale au mois de versement ?</t>
  </si>
  <si>
    <t xml:space="preserve">Provision mensuelle (1/12) ; Charge totale au mois de versement ; AUTRE - à préciser</t>
  </si>
  <si>
    <t xml:space="preserve">PRIMES EXC. — NATURE</t>
  </si>
  <si>
    <t xml:space="preserve">Les primes de 2,5 à 3 mois sont-elles des primes de bilan annuelles, des primes de performance, ou les deux ?</t>
  </si>
  <si>
    <t xml:space="preserve">Prime de bilan annuel uniquement ; Prime de performance uniquement ; Les deux types coexistent ; AUTRE - à préciser</t>
  </si>
  <si>
    <t xml:space="preserve">PRIMES EXC. — CRITERES</t>
  </si>
  <si>
    <t xml:space="preserve">Quels critères déclenchent l'attribution des primes exceptionnelles ?</t>
  </si>
  <si>
    <t xml:space="preserve">Résultats d'entreprise atteints ; Objectifs individuels atteints ; Ancienneté minimum ; Combinaison de critères (à détailler) ; Discrétion DG sans critère formel</t>
  </si>
  <si>
    <t xml:space="preserve">PRIMES EXC. — CALCUL</t>
  </si>
  <si>
    <t xml:space="preserve">Base de calcul des primes exceptionnelles ?</t>
  </si>
  <si>
    <t xml:space="preserve">Multiple du salaire net mensuel ; Multiple du salaire brut mensuel ; Multiple du salaire de base ; Forfait fixe en FCFA ; AUTRE - à préciser</t>
  </si>
  <si>
    <t xml:space="preserve">Multiplicateur typique (si base = multiple) ?</t>
  </si>
  <si>
    <t xml:space="preserve">1 mois ; 1,5 mois ; 2 mois ; 2,5 mois ; 3 mois ; Variable selon performance ; AUTRE - à préciser</t>
  </si>
  <si>
    <t xml:space="preserve">PRIMES EXC. — FREQUENCE</t>
  </si>
  <si>
    <t xml:space="preserve">À quelle fréquence sont-elles versées ?</t>
  </si>
  <si>
    <t xml:space="preserve">Une fois par an (mois précis : à indiquer) ; Trimestrielle ; Au cas par cas (sans fréquence) ; AUTRE - à préciser</t>
  </si>
  <si>
    <t xml:space="preserve">PRIMES EXC. — FISCALITE</t>
  </si>
  <si>
    <t xml:space="preserve">Régime fiscal/social identique au 13ième mois (IR, CSS, IPRES, IPM) ?</t>
  </si>
  <si>
    <t xml:space="preserve">OUI - mêmes règles ; NON - règles spécifiques (à préciser) ; AUTRE - à préciser</t>
  </si>
  <si>
    <t xml:space="preserve">PRIMES EXC. — WORKFLOW</t>
  </si>
  <si>
    <t xml:space="preserve">Qui valide l'attribution d'une prime exceptionnelle avant intégration au bulletin ?</t>
  </si>
  <si>
    <t xml:space="preserve">RRH uniquement ; DAF uniquement ; RRH + DAF (double validation) ; Directeur Général ; AUTRE - à préciser</t>
  </si>
  <si>
    <t xml:space="preserve">PRIMES EXC. — REPORTING</t>
  </si>
  <si>
    <t xml:space="preserve">Souhaitez-vous une vue 'Provision Primes' annuelle (comme la Provision Congés V1.7) pour piloter le budget ?</t>
  </si>
  <si>
    <t xml:space="preserve">OUI - indispensable ; OUI - utile mais non bloquant ; NON - pas nécessaire</t>
  </si>
  <si>
    <t xml:space="preserve">DIVERS</t>
  </si>
  <si>
    <t xml:space="preserve">Y a-t-il d'autres types de bonus à intégrer : prime de transport, gratification mariage/naissance, prime de fin de chantier, etc. ?</t>
  </si>
  <si>
    <t xml:space="preserve">OUI - à lister en colonne F ; NON</t>
  </si>
  <si>
    <t xml:space="preserve">Validation par cas chiffrés — pour confirmer l'interprétation des règles</t>
  </si>
  <si>
    <t xml:space="preserve">CAS 1 — Salarié plein-temps présent toute l'année</t>
  </si>
  <si>
    <t xml:space="preserve">Matricule</t>
  </si>
  <si>
    <t xml:space="preserve">12345</t>
  </si>
  <si>
    <t xml:space="preserve">Nom</t>
  </si>
  <si>
    <t xml:space="preserve">Jean DIOP</t>
  </si>
  <si>
    <t xml:space="preserve">Date embauche</t>
  </si>
  <si>
    <t xml:space="preserve">01/01/2024</t>
  </si>
  <si>
    <t xml:space="preserve">Salaire de base mensuel</t>
  </si>
  <si>
    <t xml:space="preserve">500 000 FCFA</t>
  </si>
  <si>
    <t xml:space="preserve">Salaire brut moyen 2026</t>
  </si>
  <si>
    <t xml:space="preserve">650 000 FCFA</t>
  </si>
  <si>
    <t xml:space="preserve">Salaire net moyen 2026</t>
  </si>
  <si>
    <t xml:space="preserve">475 000 FCFA</t>
  </si>
  <si>
    <t xml:space="preserve">Ancienneté au 31/12/2026</t>
  </si>
  <si>
    <t xml:space="preserve">2 ans</t>
  </si>
  <si>
    <t xml:space="preserve">Présence 2026</t>
  </si>
  <si>
    <t xml:space="preserve">12/12 mois</t>
  </si>
  <si>
    <t xml:space="preserve">→ Montant 13ième mois attendu</t>
  </si>
  <si>
    <t xml:space="preserve">Question : Quel montant brut sera versé sur le bulletin de décembre 2026 ?</t>
  </si>
  <si>
    <t xml:space="preserve">CAS 2 — Salarié embauché en cours d'année</t>
  </si>
  <si>
    <t xml:space="preserve">12346</t>
  </si>
  <si>
    <t xml:space="preserve">Aminata BA</t>
  </si>
  <si>
    <t xml:space="preserve">01/04/2026</t>
  </si>
  <si>
    <t xml:space="preserve">400 000 FCFA</t>
  </si>
  <si>
    <t xml:space="preserve">Salaire brut moyen avril-déc.</t>
  </si>
  <si>
    <t xml:space="preserve">450 000 FCFA</t>
  </si>
  <si>
    <t xml:space="preserve">9 mois</t>
  </si>
  <si>
    <t xml:space="preserve">9/12 mois</t>
  </si>
  <si>
    <t xml:space="preserve">Question : Prorata applicable ? Si oui, montant exact ?</t>
  </si>
  <si>
    <t xml:space="preserve">CAS 3 — Démission en cours d'année</t>
  </si>
  <si>
    <t xml:space="preserve">12347</t>
  </si>
  <si>
    <t xml:space="preserve">Moussa NDIAYE</t>
  </si>
  <si>
    <t xml:space="preserve">01/01/2023</t>
  </si>
  <si>
    <t xml:space="preserve">Date démission effective</t>
  </si>
  <si>
    <t xml:space="preserve">30/06/2026</t>
  </si>
  <si>
    <t xml:space="preserve">550 000 FCFA</t>
  </si>
  <si>
    <t xml:space="preserve">6/12 mois</t>
  </si>
  <si>
    <t xml:space="preserve">→ Montant 13ième mois sur solde de tout compte</t>
  </si>
  <si>
    <t xml:space="preserve">Question : Le salarié touche-t-il un prorata sur son STC en juillet 2026 ? Montant ?</t>
  </si>
  <si>
    <t xml:space="preserve">CAS 4 — Prime exceptionnelle 2,5 mois en juin</t>
  </si>
  <si>
    <t xml:space="preserve">12348</t>
  </si>
  <si>
    <t xml:space="preserve">Fatou SOW</t>
  </si>
  <si>
    <t xml:space="preserve">350 000 FCFA</t>
  </si>
  <si>
    <t xml:space="preserve">Salaire brut mensuel mai 2026</t>
  </si>
  <si>
    <t xml:space="preserve">420 000 FCFA</t>
  </si>
  <si>
    <t xml:space="preserve">Salaire net mensuel mai 2026</t>
  </si>
  <si>
    <t xml:space="preserve">305 000 FCFA</t>
  </si>
  <si>
    <t xml:space="preserve">Multiplicateur prime</t>
  </si>
  <si>
    <t xml:space="preserve">2,5 mois</t>
  </si>
  <si>
    <t xml:space="preserve">Base de calcul (Net/Brut/Base)</t>
  </si>
  <si>
    <t xml:space="preserve">À préciser RH</t>
  </si>
  <si>
    <t xml:space="preserve">→ Montant brut prime à verser en juin 2026</t>
  </si>
  <si>
    <t xml:space="preserve">Question : Quelle base et quel montant brut sur le bulletin de juin 2026 ?</t>
  </si>
  <si>
    <t xml:space="preserve">Synthèse des réponses (référence rapide pour la DSI)</t>
  </si>
  <si>
    <t xml:space="preserve">Réponse RH (auto)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</si>
</sst>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2"/>
      <color rgb="FF0033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3366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00336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03366"/>
        <bgColor rgb="FF333399"/>
      </patternFill>
    </fill>
    <fill>
      <patternFill patternType="solid">
        <fgColor rgb="FFFFF2CC"/>
        <bgColor rgb="FFFFFFFF"/>
      </patternFill>
    </fill>
    <fill>
      <patternFill patternType="solid">
        <fgColor rgb="FFD9E2F3"/>
        <bgColor rgb="FFCCFFFF"/>
      </patternFill>
    </fill>
    <fill>
      <patternFill patternType="solid">
        <fgColor rgb="FF4472C4"/>
        <bgColor rgb="FF0066CC"/>
      </patternFill>
    </fill>
    <fill>
      <patternFill patternType="solid">
        <fgColor rgb="FFFF8C00"/>
        <bgColor rgb="FFFF66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8C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6" min="2" style="0" width="22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3.85" hidden="false" customHeight="true" outlineLevel="0" collapsed="false">
      <c r="A4" s="3" t="s">
        <v>2</v>
      </c>
      <c r="B4" s="4" t="s">
        <v>3</v>
      </c>
      <c r="C4" s="4"/>
      <c r="D4" s="4"/>
      <c r="E4" s="4"/>
      <c r="F4" s="4"/>
    </row>
    <row r="6" customFormat="false" ht="15" hidden="false" customHeight="true" outlineLevel="0" collapsed="false">
      <c r="A6" s="3" t="s">
        <v>4</v>
      </c>
      <c r="B6" s="4" t="s">
        <v>5</v>
      </c>
      <c r="C6" s="4"/>
      <c r="D6" s="4"/>
      <c r="E6" s="4"/>
      <c r="F6" s="4"/>
    </row>
    <row r="8" customFormat="false" ht="15" hidden="false" customHeight="false" outlineLevel="0" collapsed="false">
      <c r="A8" s="5" t="s">
        <v>6</v>
      </c>
      <c r="B8" s="5"/>
      <c r="C8" s="5"/>
      <c r="D8" s="5"/>
      <c r="E8" s="5"/>
      <c r="F8" s="5"/>
    </row>
    <row r="9" customFormat="false" ht="15" hidden="false" customHeight="true" outlineLevel="0" collapsed="false">
      <c r="A9" s="6" t="s">
        <v>7</v>
      </c>
      <c r="B9" s="4" t="s">
        <v>8</v>
      </c>
      <c r="C9" s="4"/>
      <c r="D9" s="4"/>
      <c r="E9" s="4"/>
      <c r="F9" s="4"/>
    </row>
    <row r="10" customFormat="false" ht="15" hidden="false" customHeight="true" outlineLevel="0" collapsed="false">
      <c r="A10" s="6" t="s">
        <v>9</v>
      </c>
      <c r="B10" s="4" t="s">
        <v>10</v>
      </c>
      <c r="C10" s="4"/>
      <c r="D10" s="4"/>
      <c r="E10" s="4"/>
      <c r="F10" s="4"/>
    </row>
    <row r="11" customFormat="false" ht="15" hidden="false" customHeight="true" outlineLevel="0" collapsed="false">
      <c r="A11" s="6" t="s">
        <v>11</v>
      </c>
      <c r="B11" s="4" t="s">
        <v>12</v>
      </c>
      <c r="C11" s="4"/>
      <c r="D11" s="4"/>
      <c r="E11" s="4"/>
      <c r="F11" s="4"/>
    </row>
    <row r="12" customFormat="false" ht="15" hidden="false" customHeight="true" outlineLevel="0" collapsed="false">
      <c r="A12" s="6" t="s">
        <v>13</v>
      </c>
      <c r="B12" s="4" t="s">
        <v>14</v>
      </c>
      <c r="C12" s="4"/>
      <c r="D12" s="4"/>
      <c r="E12" s="4"/>
      <c r="F12" s="4"/>
    </row>
    <row r="13" customFormat="false" ht="15" hidden="false" customHeight="true" outlineLevel="0" collapsed="false">
      <c r="A13" s="6" t="s">
        <v>15</v>
      </c>
      <c r="B13" s="4" t="s">
        <v>16</v>
      </c>
      <c r="C13" s="4"/>
      <c r="D13" s="4"/>
      <c r="E13" s="4"/>
      <c r="F13" s="4"/>
    </row>
    <row r="14" customFormat="false" ht="15" hidden="false" customHeight="true" outlineLevel="0" collapsed="false">
      <c r="A14" s="6" t="s">
        <v>17</v>
      </c>
      <c r="B14" s="4" t="s">
        <v>18</v>
      </c>
      <c r="C14" s="4"/>
      <c r="D14" s="4"/>
      <c r="E14" s="4"/>
      <c r="F14" s="4"/>
    </row>
    <row r="16" customFormat="false" ht="15" hidden="false" customHeight="false" outlineLevel="0" collapsed="false">
      <c r="A16" s="5" t="s">
        <v>19</v>
      </c>
      <c r="B16" s="5"/>
      <c r="C16" s="5"/>
      <c r="D16" s="5"/>
      <c r="E16" s="5"/>
      <c r="F16" s="5"/>
    </row>
    <row r="17" customFormat="false" ht="15" hidden="false" customHeight="false" outlineLevel="0" collapsed="false">
      <c r="A17" s="7" t="s">
        <v>20</v>
      </c>
      <c r="B17" s="8" t="s">
        <v>21</v>
      </c>
      <c r="C17" s="8"/>
      <c r="D17" s="8"/>
      <c r="E17" s="8"/>
      <c r="F17" s="8"/>
    </row>
    <row r="18" customFormat="false" ht="15" hidden="false" customHeight="false" outlineLevel="0" collapsed="false">
      <c r="A18" s="9" t="s">
        <v>22</v>
      </c>
      <c r="B18" s="8" t="s">
        <v>23</v>
      </c>
      <c r="C18" s="8"/>
      <c r="D18" s="8"/>
      <c r="E18" s="8"/>
      <c r="F18" s="8"/>
    </row>
  </sheetData>
  <mergeCells count="14">
    <mergeCell ref="A1:F1"/>
    <mergeCell ref="A2:F2"/>
    <mergeCell ref="B4:F4"/>
    <mergeCell ref="B6:F6"/>
    <mergeCell ref="A8:F8"/>
    <mergeCell ref="B9:F9"/>
    <mergeCell ref="B10:F10"/>
    <mergeCell ref="B11:F11"/>
    <mergeCell ref="B12:F12"/>
    <mergeCell ref="B13:F13"/>
    <mergeCell ref="B14:F14"/>
    <mergeCell ref="A16:F16"/>
    <mergeCell ref="B17:F17"/>
    <mergeCell ref="B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45"/>
    <col collapsed="false" customWidth="true" hidden="false" outlineLevel="0" max="4" min="4" style="0" width="50"/>
    <col collapsed="false" customWidth="true" hidden="false" outlineLevel="0" max="5" min="5" style="0" width="28"/>
    <col collapsed="false" customWidth="true" hidden="false" outlineLevel="0" max="6" min="6" style="0" width="35"/>
  </cols>
  <sheetData>
    <row r="1" customFormat="false" ht="27.75" hidden="false" customHeight="true" outlineLevel="0" collapsed="false">
      <c r="A1" s="10" t="s">
        <v>24</v>
      </c>
      <c r="B1" s="10"/>
      <c r="C1" s="10"/>
      <c r="D1" s="10"/>
      <c r="E1" s="10"/>
      <c r="F1" s="10"/>
    </row>
    <row r="3" customFormat="false" ht="34.5" hidden="false" customHeight="true" outlineLevel="0" collapsed="false">
      <c r="A3" s="11" t="s">
        <v>25</v>
      </c>
      <c r="B3" s="11" t="s">
        <v>26</v>
      </c>
      <c r="C3" s="11" t="s">
        <v>27</v>
      </c>
      <c r="D3" s="11" t="s">
        <v>28</v>
      </c>
      <c r="E3" s="11" t="s">
        <v>29</v>
      </c>
      <c r="F3" s="11" t="s">
        <v>30</v>
      </c>
    </row>
    <row r="4" customFormat="false" ht="54.75" hidden="false" customHeight="true" outlineLevel="0" collapsed="false">
      <c r="A4" s="12" t="n">
        <v>1</v>
      </c>
      <c r="B4" s="12" t="s">
        <v>31</v>
      </c>
      <c r="C4" s="13" t="s">
        <v>32</v>
      </c>
      <c r="D4" s="13" t="s">
        <v>33</v>
      </c>
      <c r="E4" s="14"/>
      <c r="F4" s="14"/>
    </row>
    <row r="5" customFormat="false" ht="54.75" hidden="false" customHeight="true" outlineLevel="0" collapsed="false">
      <c r="A5" s="12" t="n">
        <v>2</v>
      </c>
      <c r="B5" s="12" t="s">
        <v>31</v>
      </c>
      <c r="C5" s="13" t="s">
        <v>34</v>
      </c>
      <c r="D5" s="13" t="s">
        <v>35</v>
      </c>
      <c r="E5" s="14"/>
      <c r="F5" s="14"/>
    </row>
    <row r="6" customFormat="false" ht="54.75" hidden="false" customHeight="true" outlineLevel="0" collapsed="false">
      <c r="A6" s="12" t="n">
        <v>3</v>
      </c>
      <c r="B6" s="12" t="s">
        <v>31</v>
      </c>
      <c r="C6" s="13" t="s">
        <v>36</v>
      </c>
      <c r="D6" s="13" t="s">
        <v>37</v>
      </c>
      <c r="E6" s="14"/>
      <c r="F6" s="14"/>
    </row>
    <row r="7" customFormat="false" ht="54.75" hidden="false" customHeight="true" outlineLevel="0" collapsed="false">
      <c r="A7" s="12" t="n">
        <v>4</v>
      </c>
      <c r="B7" s="12" t="s">
        <v>38</v>
      </c>
      <c r="C7" s="13" t="s">
        <v>39</v>
      </c>
      <c r="D7" s="13" t="s">
        <v>40</v>
      </c>
      <c r="E7" s="14"/>
      <c r="F7" s="14"/>
    </row>
    <row r="8" customFormat="false" ht="54.75" hidden="false" customHeight="true" outlineLevel="0" collapsed="false">
      <c r="A8" s="12" t="n">
        <v>5</v>
      </c>
      <c r="B8" s="12" t="s">
        <v>38</v>
      </c>
      <c r="C8" s="13" t="s">
        <v>41</v>
      </c>
      <c r="D8" s="13" t="s">
        <v>42</v>
      </c>
      <c r="E8" s="14"/>
      <c r="F8" s="14"/>
    </row>
    <row r="9" customFormat="false" ht="54.75" hidden="false" customHeight="true" outlineLevel="0" collapsed="false">
      <c r="A9" s="12" t="n">
        <v>6</v>
      </c>
      <c r="B9" s="12" t="s">
        <v>43</v>
      </c>
      <c r="C9" s="13" t="s">
        <v>44</v>
      </c>
      <c r="D9" s="13" t="s">
        <v>45</v>
      </c>
      <c r="E9" s="14"/>
      <c r="F9" s="14"/>
    </row>
    <row r="10" customFormat="false" ht="54.75" hidden="false" customHeight="true" outlineLevel="0" collapsed="false">
      <c r="A10" s="12" t="n">
        <v>7</v>
      </c>
      <c r="B10" s="12" t="s">
        <v>46</v>
      </c>
      <c r="C10" s="13" t="s">
        <v>47</v>
      </c>
      <c r="D10" s="13" t="s">
        <v>48</v>
      </c>
      <c r="E10" s="14"/>
      <c r="F10" s="14"/>
    </row>
    <row r="11" customFormat="false" ht="54.75" hidden="false" customHeight="true" outlineLevel="0" collapsed="false">
      <c r="A11" s="12" t="n">
        <v>8</v>
      </c>
      <c r="B11" s="12" t="s">
        <v>46</v>
      </c>
      <c r="C11" s="13" t="s">
        <v>49</v>
      </c>
      <c r="D11" s="13" t="s">
        <v>50</v>
      </c>
      <c r="E11" s="14"/>
      <c r="F11" s="14"/>
    </row>
    <row r="12" customFormat="false" ht="54.75" hidden="false" customHeight="true" outlineLevel="0" collapsed="false">
      <c r="A12" s="12" t="n">
        <v>9</v>
      </c>
      <c r="B12" s="12" t="s">
        <v>51</v>
      </c>
      <c r="C12" s="13" t="s">
        <v>52</v>
      </c>
      <c r="D12" s="13" t="s">
        <v>53</v>
      </c>
      <c r="E12" s="14"/>
      <c r="F12" s="14"/>
    </row>
    <row r="13" customFormat="false" ht="54.75" hidden="false" customHeight="true" outlineLevel="0" collapsed="false">
      <c r="A13" s="12" t="n">
        <v>10</v>
      </c>
      <c r="B13" s="12" t="s">
        <v>54</v>
      </c>
      <c r="C13" s="13" t="s">
        <v>55</v>
      </c>
      <c r="D13" s="13" t="s">
        <v>56</v>
      </c>
      <c r="E13" s="14"/>
      <c r="F13" s="14"/>
    </row>
    <row r="14" customFormat="false" ht="54.75" hidden="false" customHeight="true" outlineLevel="0" collapsed="false">
      <c r="A14" s="12" t="n">
        <v>11</v>
      </c>
      <c r="B14" s="12" t="s">
        <v>57</v>
      </c>
      <c r="C14" s="13" t="s">
        <v>58</v>
      </c>
      <c r="D14" s="13" t="s">
        <v>59</v>
      </c>
      <c r="E14" s="14"/>
      <c r="F14" s="14"/>
    </row>
    <row r="15" customFormat="false" ht="54.75" hidden="false" customHeight="true" outlineLevel="0" collapsed="false">
      <c r="A15" s="12" t="n">
        <v>12</v>
      </c>
      <c r="B15" s="12" t="s">
        <v>60</v>
      </c>
      <c r="C15" s="13" t="s">
        <v>61</v>
      </c>
      <c r="D15" s="13" t="s">
        <v>62</v>
      </c>
      <c r="E15" s="14"/>
      <c r="F15" s="14"/>
    </row>
    <row r="16" customFormat="false" ht="54.75" hidden="false" customHeight="true" outlineLevel="0" collapsed="false">
      <c r="A16" s="12" t="n">
        <v>13</v>
      </c>
      <c r="B16" s="12" t="s">
        <v>60</v>
      </c>
      <c r="C16" s="13" t="s">
        <v>63</v>
      </c>
      <c r="D16" s="13" t="s">
        <v>64</v>
      </c>
      <c r="E16" s="14"/>
      <c r="F16" s="14"/>
    </row>
    <row r="17" customFormat="false" ht="54.75" hidden="false" customHeight="true" outlineLevel="0" collapsed="false">
      <c r="A17" s="12" t="n">
        <v>14</v>
      </c>
      <c r="B17" s="12" t="s">
        <v>65</v>
      </c>
      <c r="C17" s="13" t="s">
        <v>66</v>
      </c>
      <c r="D17" s="13" t="s">
        <v>67</v>
      </c>
      <c r="E17" s="14"/>
      <c r="F17" s="14"/>
    </row>
    <row r="18" customFormat="false" ht="54.75" hidden="false" customHeight="true" outlineLevel="0" collapsed="false">
      <c r="A18" s="12" t="n">
        <v>15</v>
      </c>
      <c r="B18" s="12" t="s">
        <v>68</v>
      </c>
      <c r="C18" s="13" t="s">
        <v>69</v>
      </c>
      <c r="D18" s="13" t="s">
        <v>70</v>
      </c>
      <c r="E18" s="14"/>
      <c r="F18" s="14"/>
    </row>
    <row r="19" customFormat="false" ht="54.75" hidden="false" customHeight="true" outlineLevel="0" collapsed="false">
      <c r="A19" s="12" t="n">
        <v>16</v>
      </c>
      <c r="B19" s="12" t="s">
        <v>71</v>
      </c>
      <c r="C19" s="13" t="s">
        <v>72</v>
      </c>
      <c r="D19" s="13" t="s">
        <v>73</v>
      </c>
      <c r="E19" s="14"/>
      <c r="F19" s="14"/>
    </row>
    <row r="20" customFormat="false" ht="54.75" hidden="false" customHeight="true" outlineLevel="0" collapsed="false">
      <c r="A20" s="12" t="n">
        <v>17</v>
      </c>
      <c r="B20" s="12" t="s">
        <v>74</v>
      </c>
      <c r="C20" s="13" t="s">
        <v>75</v>
      </c>
      <c r="D20" s="13" t="s">
        <v>76</v>
      </c>
      <c r="E20" s="14"/>
      <c r="F20" s="14"/>
    </row>
    <row r="21" customFormat="false" ht="54.75" hidden="false" customHeight="true" outlineLevel="0" collapsed="false">
      <c r="A21" s="12" t="n">
        <v>18</v>
      </c>
      <c r="B21" s="12" t="s">
        <v>77</v>
      </c>
      <c r="C21" s="13" t="s">
        <v>78</v>
      </c>
      <c r="D21" s="13" t="s">
        <v>79</v>
      </c>
      <c r="E21" s="14"/>
      <c r="F21" s="14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5" min="5" style="0" width="30"/>
  </cols>
  <sheetData>
    <row r="1" customFormat="false" ht="27.75" hidden="false" customHeight="true" outlineLevel="0" collapsed="false">
      <c r="A1" s="10" t="s">
        <v>80</v>
      </c>
      <c r="B1" s="10"/>
      <c r="C1" s="10"/>
      <c r="D1" s="10"/>
      <c r="E1" s="10"/>
    </row>
    <row r="3" customFormat="false" ht="24.75" hidden="false" customHeight="true" outlineLevel="0" collapsed="false">
      <c r="A3" s="15" t="s">
        <v>81</v>
      </c>
      <c r="B3" s="15"/>
      <c r="C3" s="15"/>
      <c r="D3" s="15"/>
      <c r="E3" s="15"/>
    </row>
    <row r="4" customFormat="false" ht="15" hidden="false" customHeight="false" outlineLevel="0" collapsed="false">
      <c r="A4" s="16" t="s">
        <v>82</v>
      </c>
      <c r="B4" s="16"/>
      <c r="C4" s="17" t="s">
        <v>83</v>
      </c>
      <c r="D4" s="17"/>
      <c r="E4" s="18"/>
    </row>
    <row r="5" customFormat="false" ht="15" hidden="false" customHeight="false" outlineLevel="0" collapsed="false">
      <c r="A5" s="16" t="s">
        <v>84</v>
      </c>
      <c r="B5" s="16"/>
      <c r="C5" s="17" t="s">
        <v>85</v>
      </c>
      <c r="D5" s="17"/>
      <c r="E5" s="18"/>
    </row>
    <row r="6" customFormat="false" ht="15" hidden="false" customHeight="false" outlineLevel="0" collapsed="false">
      <c r="A6" s="16" t="s">
        <v>86</v>
      </c>
      <c r="B6" s="16"/>
      <c r="C6" s="17" t="s">
        <v>87</v>
      </c>
      <c r="D6" s="17"/>
      <c r="E6" s="18"/>
    </row>
    <row r="7" customFormat="false" ht="15" hidden="false" customHeight="false" outlineLevel="0" collapsed="false">
      <c r="A7" s="16" t="s">
        <v>88</v>
      </c>
      <c r="B7" s="16"/>
      <c r="C7" s="17" t="s">
        <v>89</v>
      </c>
      <c r="D7" s="17"/>
      <c r="E7" s="18"/>
    </row>
    <row r="8" customFormat="false" ht="15" hidden="false" customHeight="false" outlineLevel="0" collapsed="false">
      <c r="A8" s="16" t="s">
        <v>90</v>
      </c>
      <c r="B8" s="16"/>
      <c r="C8" s="17" t="s">
        <v>91</v>
      </c>
      <c r="D8" s="17"/>
      <c r="E8" s="18"/>
    </row>
    <row r="9" customFormat="false" ht="15" hidden="false" customHeight="false" outlineLevel="0" collapsed="false">
      <c r="A9" s="16" t="s">
        <v>92</v>
      </c>
      <c r="B9" s="16"/>
      <c r="C9" s="17" t="s">
        <v>93</v>
      </c>
      <c r="D9" s="17"/>
      <c r="E9" s="18"/>
    </row>
    <row r="10" customFormat="false" ht="15" hidden="false" customHeight="false" outlineLevel="0" collapsed="false">
      <c r="A10" s="16" t="s">
        <v>94</v>
      </c>
      <c r="B10" s="16"/>
      <c r="C10" s="17" t="s">
        <v>95</v>
      </c>
      <c r="D10" s="17"/>
      <c r="E10" s="18"/>
    </row>
    <row r="11" customFormat="false" ht="15" hidden="false" customHeight="false" outlineLevel="0" collapsed="false">
      <c r="A11" s="16" t="s">
        <v>96</v>
      </c>
      <c r="B11" s="16"/>
      <c r="C11" s="17" t="s">
        <v>97</v>
      </c>
      <c r="D11" s="17"/>
      <c r="E11" s="18"/>
    </row>
    <row r="12" customFormat="false" ht="15" hidden="false" customHeight="false" outlineLevel="0" collapsed="false">
      <c r="A12" s="16" t="s">
        <v>98</v>
      </c>
      <c r="B12" s="16"/>
      <c r="C12" s="19"/>
      <c r="D12" s="19"/>
      <c r="E12" s="18"/>
    </row>
    <row r="13" customFormat="false" ht="24.75" hidden="false" customHeight="true" outlineLevel="0" collapsed="false">
      <c r="A13" s="20" t="s">
        <v>99</v>
      </c>
      <c r="B13" s="20"/>
      <c r="C13" s="20"/>
      <c r="D13" s="20"/>
      <c r="E13" s="20"/>
    </row>
    <row r="15" customFormat="false" ht="24.75" hidden="false" customHeight="true" outlineLevel="0" collapsed="false">
      <c r="A15" s="15" t="s">
        <v>100</v>
      </c>
      <c r="B15" s="15"/>
      <c r="C15" s="15"/>
      <c r="D15" s="15"/>
      <c r="E15" s="15"/>
    </row>
    <row r="16" customFormat="false" ht="15" hidden="false" customHeight="false" outlineLevel="0" collapsed="false">
      <c r="A16" s="16" t="s">
        <v>82</v>
      </c>
      <c r="B16" s="16"/>
      <c r="C16" s="17" t="s">
        <v>101</v>
      </c>
      <c r="D16" s="17"/>
      <c r="E16" s="18"/>
    </row>
    <row r="17" customFormat="false" ht="15" hidden="false" customHeight="false" outlineLevel="0" collapsed="false">
      <c r="A17" s="16" t="s">
        <v>84</v>
      </c>
      <c r="B17" s="16"/>
      <c r="C17" s="17" t="s">
        <v>102</v>
      </c>
      <c r="D17" s="17"/>
      <c r="E17" s="18"/>
    </row>
    <row r="18" customFormat="false" ht="15" hidden="false" customHeight="false" outlineLevel="0" collapsed="false">
      <c r="A18" s="16" t="s">
        <v>86</v>
      </c>
      <c r="B18" s="16"/>
      <c r="C18" s="17" t="s">
        <v>103</v>
      </c>
      <c r="D18" s="17"/>
      <c r="E18" s="18"/>
    </row>
    <row r="19" customFormat="false" ht="15" hidden="false" customHeight="false" outlineLevel="0" collapsed="false">
      <c r="A19" s="16" t="s">
        <v>88</v>
      </c>
      <c r="B19" s="16"/>
      <c r="C19" s="17" t="s">
        <v>104</v>
      </c>
      <c r="D19" s="17"/>
      <c r="E19" s="18"/>
    </row>
    <row r="20" customFormat="false" ht="15" hidden="false" customHeight="false" outlineLevel="0" collapsed="false">
      <c r="A20" s="16" t="s">
        <v>105</v>
      </c>
      <c r="B20" s="16"/>
      <c r="C20" s="17" t="s">
        <v>106</v>
      </c>
      <c r="D20" s="17"/>
      <c r="E20" s="18"/>
    </row>
    <row r="21" customFormat="false" ht="15" hidden="false" customHeight="false" outlineLevel="0" collapsed="false">
      <c r="A21" s="16" t="s">
        <v>94</v>
      </c>
      <c r="B21" s="16"/>
      <c r="C21" s="17" t="s">
        <v>107</v>
      </c>
      <c r="D21" s="17"/>
      <c r="E21" s="18"/>
    </row>
    <row r="22" customFormat="false" ht="15" hidden="false" customHeight="false" outlineLevel="0" collapsed="false">
      <c r="A22" s="16" t="s">
        <v>96</v>
      </c>
      <c r="B22" s="16"/>
      <c r="C22" s="17" t="s">
        <v>108</v>
      </c>
      <c r="D22" s="17"/>
      <c r="E22" s="18"/>
    </row>
    <row r="23" customFormat="false" ht="15" hidden="false" customHeight="false" outlineLevel="0" collapsed="false">
      <c r="A23" s="16" t="s">
        <v>98</v>
      </c>
      <c r="B23" s="16"/>
      <c r="C23" s="19"/>
      <c r="D23" s="19"/>
      <c r="E23" s="18"/>
    </row>
    <row r="24" customFormat="false" ht="24.75" hidden="false" customHeight="true" outlineLevel="0" collapsed="false">
      <c r="A24" s="20" t="s">
        <v>109</v>
      </c>
      <c r="B24" s="20"/>
      <c r="C24" s="20"/>
      <c r="D24" s="20"/>
      <c r="E24" s="20"/>
    </row>
    <row r="26" customFormat="false" ht="24.75" hidden="false" customHeight="true" outlineLevel="0" collapsed="false">
      <c r="A26" s="15" t="s">
        <v>110</v>
      </c>
      <c r="B26" s="15"/>
      <c r="C26" s="15"/>
      <c r="D26" s="15"/>
      <c r="E26" s="15"/>
    </row>
    <row r="27" customFormat="false" ht="15" hidden="false" customHeight="false" outlineLevel="0" collapsed="false">
      <c r="A27" s="16" t="s">
        <v>82</v>
      </c>
      <c r="B27" s="16"/>
      <c r="C27" s="17" t="s">
        <v>111</v>
      </c>
      <c r="D27" s="17"/>
      <c r="E27" s="18"/>
    </row>
    <row r="28" customFormat="false" ht="15" hidden="false" customHeight="false" outlineLevel="0" collapsed="false">
      <c r="A28" s="16" t="s">
        <v>84</v>
      </c>
      <c r="B28" s="16"/>
      <c r="C28" s="17" t="s">
        <v>112</v>
      </c>
      <c r="D28" s="17"/>
      <c r="E28" s="18"/>
    </row>
    <row r="29" customFormat="false" ht="15" hidden="false" customHeight="false" outlineLevel="0" collapsed="false">
      <c r="A29" s="16" t="s">
        <v>86</v>
      </c>
      <c r="B29" s="16"/>
      <c r="C29" s="17" t="s">
        <v>113</v>
      </c>
      <c r="D29" s="17"/>
      <c r="E29" s="18"/>
    </row>
    <row r="30" customFormat="false" ht="15" hidden="false" customHeight="false" outlineLevel="0" collapsed="false">
      <c r="A30" s="16" t="s">
        <v>114</v>
      </c>
      <c r="B30" s="16"/>
      <c r="C30" s="17" t="s">
        <v>115</v>
      </c>
      <c r="D30" s="17"/>
      <c r="E30" s="18"/>
    </row>
    <row r="31" customFormat="false" ht="15" hidden="false" customHeight="false" outlineLevel="0" collapsed="false">
      <c r="A31" s="16" t="s">
        <v>90</v>
      </c>
      <c r="B31" s="16"/>
      <c r="C31" s="17" t="s">
        <v>116</v>
      </c>
      <c r="D31" s="17"/>
      <c r="E31" s="18"/>
    </row>
    <row r="32" customFormat="false" ht="15" hidden="false" customHeight="false" outlineLevel="0" collapsed="false">
      <c r="A32" s="16" t="s">
        <v>96</v>
      </c>
      <c r="B32" s="16"/>
      <c r="C32" s="17" t="s">
        <v>117</v>
      </c>
      <c r="D32" s="17"/>
      <c r="E32" s="18"/>
    </row>
    <row r="33" customFormat="false" ht="15" hidden="false" customHeight="false" outlineLevel="0" collapsed="false">
      <c r="A33" s="16" t="s">
        <v>118</v>
      </c>
      <c r="B33" s="16"/>
      <c r="C33" s="19"/>
      <c r="D33" s="19"/>
      <c r="E33" s="18"/>
    </row>
    <row r="34" customFormat="false" ht="24.75" hidden="false" customHeight="true" outlineLevel="0" collapsed="false">
      <c r="A34" s="20" t="s">
        <v>119</v>
      </c>
      <c r="B34" s="20"/>
      <c r="C34" s="20"/>
      <c r="D34" s="20"/>
      <c r="E34" s="20"/>
    </row>
    <row r="36" customFormat="false" ht="24.75" hidden="false" customHeight="true" outlineLevel="0" collapsed="false">
      <c r="A36" s="15" t="s">
        <v>120</v>
      </c>
      <c r="B36" s="15"/>
      <c r="C36" s="15"/>
      <c r="D36" s="15"/>
      <c r="E36" s="15"/>
    </row>
    <row r="37" customFormat="false" ht="15" hidden="false" customHeight="false" outlineLevel="0" collapsed="false">
      <c r="A37" s="16" t="s">
        <v>82</v>
      </c>
      <c r="B37" s="16"/>
      <c r="C37" s="17" t="s">
        <v>121</v>
      </c>
      <c r="D37" s="17"/>
      <c r="E37" s="18"/>
    </row>
    <row r="38" customFormat="false" ht="15" hidden="false" customHeight="false" outlineLevel="0" collapsed="false">
      <c r="A38" s="16" t="s">
        <v>84</v>
      </c>
      <c r="B38" s="16"/>
      <c r="C38" s="17" t="s">
        <v>122</v>
      </c>
      <c r="D38" s="17"/>
      <c r="E38" s="18"/>
    </row>
    <row r="39" customFormat="false" ht="15" hidden="false" customHeight="false" outlineLevel="0" collapsed="false">
      <c r="A39" s="16" t="s">
        <v>88</v>
      </c>
      <c r="B39" s="16"/>
      <c r="C39" s="17" t="s">
        <v>123</v>
      </c>
      <c r="D39" s="17"/>
      <c r="E39" s="18"/>
    </row>
    <row r="40" customFormat="false" ht="15" hidden="false" customHeight="false" outlineLevel="0" collapsed="false">
      <c r="A40" s="16" t="s">
        <v>124</v>
      </c>
      <c r="B40" s="16"/>
      <c r="C40" s="17" t="s">
        <v>125</v>
      </c>
      <c r="D40" s="17"/>
      <c r="E40" s="18"/>
    </row>
    <row r="41" customFormat="false" ht="15" hidden="false" customHeight="false" outlineLevel="0" collapsed="false">
      <c r="A41" s="16" t="s">
        <v>126</v>
      </c>
      <c r="B41" s="16"/>
      <c r="C41" s="17" t="s">
        <v>127</v>
      </c>
      <c r="D41" s="17"/>
      <c r="E41" s="18"/>
    </row>
    <row r="42" customFormat="false" ht="15" hidden="false" customHeight="false" outlineLevel="0" collapsed="false">
      <c r="A42" s="16" t="s">
        <v>128</v>
      </c>
      <c r="B42" s="16"/>
      <c r="C42" s="17" t="s">
        <v>129</v>
      </c>
      <c r="D42" s="17"/>
      <c r="E42" s="18"/>
    </row>
    <row r="43" customFormat="false" ht="15" hidden="false" customHeight="false" outlineLevel="0" collapsed="false">
      <c r="A43" s="16" t="s">
        <v>130</v>
      </c>
      <c r="B43" s="16"/>
      <c r="C43" s="17" t="s">
        <v>131</v>
      </c>
      <c r="D43" s="17"/>
      <c r="E43" s="18"/>
    </row>
    <row r="44" customFormat="false" ht="15" hidden="false" customHeight="false" outlineLevel="0" collapsed="false">
      <c r="A44" s="16" t="s">
        <v>132</v>
      </c>
      <c r="B44" s="16"/>
      <c r="C44" s="19"/>
      <c r="D44" s="19"/>
      <c r="E44" s="18"/>
    </row>
    <row r="45" customFormat="false" ht="24.75" hidden="false" customHeight="true" outlineLevel="0" collapsed="false">
      <c r="A45" s="20" t="s">
        <v>133</v>
      </c>
      <c r="B45" s="20"/>
      <c r="C45" s="20"/>
      <c r="D45" s="20"/>
      <c r="E45" s="20"/>
    </row>
  </sheetData>
  <mergeCells count="73">
    <mergeCell ref="A1:E1"/>
    <mergeCell ref="A3:E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E13"/>
    <mergeCell ref="A15:E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E24"/>
    <mergeCell ref="A26:E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3"/>
    <mergeCell ref="A34:E34"/>
    <mergeCell ref="A36:E36"/>
    <mergeCell ref="A37:B37"/>
    <mergeCell ref="C37:D37"/>
    <mergeCell ref="A38:B38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E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0"/>
    <col collapsed="false" customWidth="true" hidden="false" outlineLevel="0" max="3" min="3" style="0" width="32"/>
  </cols>
  <sheetData>
    <row r="1" customFormat="false" ht="27.75" hidden="false" customHeight="true" outlineLevel="0" collapsed="false">
      <c r="A1" s="10" t="s">
        <v>134</v>
      </c>
      <c r="B1" s="10"/>
      <c r="C1" s="10"/>
    </row>
    <row r="3" customFormat="false" ht="27.75" hidden="false" customHeight="true" outlineLevel="0" collapsed="false">
      <c r="A3" s="11" t="s">
        <v>26</v>
      </c>
      <c r="B3" s="11" t="s">
        <v>27</v>
      </c>
      <c r="C3" s="11" t="s">
        <v>135</v>
      </c>
    </row>
    <row r="4" customFormat="false" ht="49.5" hidden="false" customHeight="true" outlineLevel="0" collapsed="false">
      <c r="A4" s="21" t="str">
        <f aca="false">'📝 Grille'!B4</f>
        <v>13IEME MOIS — DROIT</v>
      </c>
      <c r="B4" s="13" t="str">
        <f aca="false">'📝 Grille'!C4</f>
        <v>Le 13ième mois est-il un droit conventionnel applicable à tous les salariés ELTON ?</v>
      </c>
      <c r="C4" s="22" t="n">
        <f aca="false">'📝 Grille'!E4</f>
        <v>0</v>
      </c>
    </row>
    <row r="5" customFormat="false" ht="49.5" hidden="false" customHeight="true" outlineLevel="0" collapsed="false">
      <c r="A5" s="21" t="str">
        <f aca="false">'📝 Grille'!B5</f>
        <v>13IEME MOIS — DROIT</v>
      </c>
      <c r="B5" s="13" t="str">
        <f aca="false">'📝 Grille'!C5</f>
        <v>Si OUI, à partir de quelle ancienneté le salarié y a-t-il droit ?</v>
      </c>
      <c r="C5" s="22" t="n">
        <f aca="false">'📝 Grille'!E5</f>
        <v>0</v>
      </c>
    </row>
    <row r="6" customFormat="false" ht="49.5" hidden="false" customHeight="true" outlineLevel="0" collapsed="false">
      <c r="A6" s="21" t="str">
        <f aca="false">'📝 Grille'!B6</f>
        <v>13IEME MOIS — DROIT</v>
      </c>
      <c r="B6" s="13" t="str">
        <f aca="false">'📝 Grille'!C6</f>
        <v>Un salarié qui quitte l'entreprise en cours d'année a-t-il droit à un prorata sur son solde de tout compte ?</v>
      </c>
      <c r="C6" s="22" t="n">
        <f aca="false">'📝 Grille'!E6</f>
        <v>0</v>
      </c>
    </row>
    <row r="7" customFormat="false" ht="49.5" hidden="false" customHeight="true" outlineLevel="0" collapsed="false">
      <c r="A7" s="21" t="str">
        <f aca="false">'📝 Grille'!B7</f>
        <v>13IEME MOIS — CALCUL</v>
      </c>
      <c r="B7" s="13" t="str">
        <f aca="false">'📝 Grille'!C7</f>
        <v>Sur quelle base calcule-t-on le 13ième mois ?</v>
      </c>
      <c r="C7" s="22" t="n">
        <f aca="false">'📝 Grille'!E7</f>
        <v>0</v>
      </c>
    </row>
    <row r="8" customFormat="false" ht="49.5" hidden="false" customHeight="true" outlineLevel="0" collapsed="false">
      <c r="A8" s="21" t="str">
        <f aca="false">'📝 Grille'!B8</f>
        <v>13IEME MOIS — CALCUL</v>
      </c>
      <c r="B8" s="13" t="str">
        <f aca="false">'📝 Grille'!C8</f>
        <v>Quel est le multiplicateur ? (1 mois = 100 %)</v>
      </c>
      <c r="C8" s="22" t="n">
        <f aca="false">'📝 Grille'!E8</f>
        <v>0</v>
      </c>
    </row>
    <row r="9" customFormat="false" ht="49.5" hidden="false" customHeight="true" outlineLevel="0" collapsed="false">
      <c r="A9" s="21" t="str">
        <f aca="false">'📝 Grille'!B9</f>
        <v>13IEME MOIS — VERSEMENT</v>
      </c>
      <c r="B9" s="13" t="str">
        <f aca="false">'📝 Grille'!C9</f>
        <v>À quelle date est versé le 13ième mois ?</v>
      </c>
      <c r="C9" s="22" t="n">
        <f aca="false">'📝 Grille'!E9</f>
        <v>0</v>
      </c>
    </row>
    <row r="10" customFormat="false" ht="49.5" hidden="false" customHeight="true" outlineLevel="0" collapsed="false">
      <c r="A10" s="21" t="str">
        <f aca="false">'📝 Grille'!B10</f>
        <v>13IEME MOIS — FISCALITE</v>
      </c>
      <c r="B10" s="13" t="str">
        <f aca="false">'📝 Grille'!C10</f>
        <v>Le 13ième mois est-il intégralement soumis à : IR, CSS, IPRES, IPM ?</v>
      </c>
      <c r="C10" s="22" t="n">
        <f aca="false">'📝 Grille'!E10</f>
        <v>0</v>
      </c>
    </row>
    <row r="11" customFormat="false" ht="49.5" hidden="false" customHeight="true" outlineLevel="0" collapsed="false">
      <c r="A11" s="21" t="str">
        <f aca="false">'📝 Grille'!B11</f>
        <v>13IEME MOIS — FISCALITE</v>
      </c>
      <c r="B11" s="13" t="str">
        <f aca="false">'📝 Grille'!C11</f>
        <v>Faut-il lisser fiscalement le 13ième mois sur les 12 mois suivants pour éviter de pénaliser le salarié sur l'IR ?</v>
      </c>
      <c r="C11" s="22" t="n">
        <f aca="false">'📝 Grille'!E11</f>
        <v>0</v>
      </c>
    </row>
    <row r="12" customFormat="false" ht="49.5" hidden="false" customHeight="true" outlineLevel="0" collapsed="false">
      <c r="A12" s="21" t="str">
        <f aca="false">'📝 Grille'!B12</f>
        <v>13IEME MOIS — COMPTABILITE</v>
      </c>
      <c r="B12" s="13" t="str">
        <f aca="false">'📝 Grille'!C12</f>
        <v>Faut-il provisionner mensuellement (1/12 chaque mois) en charge comptable, ou imputer la charge totale au mois de versement ?</v>
      </c>
      <c r="C12" s="22" t="n">
        <f aca="false">'📝 Grille'!E12</f>
        <v>0</v>
      </c>
    </row>
    <row r="13" customFormat="false" ht="49.5" hidden="false" customHeight="true" outlineLevel="0" collapsed="false">
      <c r="A13" s="21" t="str">
        <f aca="false">'📝 Grille'!B13</f>
        <v>PRIMES EXC. — NATURE</v>
      </c>
      <c r="B13" s="13" t="str">
        <f aca="false">'📝 Grille'!C13</f>
        <v>Les primes de 2,5 à 3 mois sont-elles des primes de bilan annuelles, des primes de performance, ou les deux ?</v>
      </c>
      <c r="C13" s="22" t="n">
        <f aca="false">'📝 Grille'!E13</f>
        <v>0</v>
      </c>
    </row>
    <row r="14" customFormat="false" ht="49.5" hidden="false" customHeight="true" outlineLevel="0" collapsed="false">
      <c r="A14" s="21" t="str">
        <f aca="false">'📝 Grille'!B14</f>
        <v>PRIMES EXC. — CRITERES</v>
      </c>
      <c r="B14" s="13" t="str">
        <f aca="false">'📝 Grille'!C14</f>
        <v>Quels critères déclenchent l'attribution des primes exceptionnelles ?</v>
      </c>
      <c r="C14" s="22" t="n">
        <f aca="false">'📝 Grille'!E14</f>
        <v>0</v>
      </c>
    </row>
    <row r="15" customFormat="false" ht="49.5" hidden="false" customHeight="true" outlineLevel="0" collapsed="false">
      <c r="A15" s="21" t="str">
        <f aca="false">'📝 Grille'!B15</f>
        <v>PRIMES EXC. — CALCUL</v>
      </c>
      <c r="B15" s="13" t="str">
        <f aca="false">'📝 Grille'!C15</f>
        <v>Base de calcul des primes exceptionnelles ?</v>
      </c>
      <c r="C15" s="22" t="n">
        <f aca="false">'📝 Grille'!E15</f>
        <v>0</v>
      </c>
    </row>
    <row r="16" customFormat="false" ht="49.5" hidden="false" customHeight="true" outlineLevel="0" collapsed="false">
      <c r="A16" s="21" t="str">
        <f aca="false">'📝 Grille'!B16</f>
        <v>PRIMES EXC. — CALCUL</v>
      </c>
      <c r="B16" s="13" t="str">
        <f aca="false">'📝 Grille'!C16</f>
        <v>Multiplicateur typique (si base = multiple) ?</v>
      </c>
      <c r="C16" s="22" t="n">
        <f aca="false">'📝 Grille'!E16</f>
        <v>0</v>
      </c>
    </row>
    <row r="17" customFormat="false" ht="49.5" hidden="false" customHeight="true" outlineLevel="0" collapsed="false">
      <c r="A17" s="21" t="str">
        <f aca="false">'📝 Grille'!B17</f>
        <v>PRIMES EXC. — FREQUENCE</v>
      </c>
      <c r="B17" s="13" t="str">
        <f aca="false">'📝 Grille'!C17</f>
        <v>À quelle fréquence sont-elles versées ?</v>
      </c>
      <c r="C17" s="22" t="n">
        <f aca="false">'📝 Grille'!E17</f>
        <v>0</v>
      </c>
    </row>
    <row r="18" customFormat="false" ht="49.5" hidden="false" customHeight="true" outlineLevel="0" collapsed="false">
      <c r="A18" s="21" t="str">
        <f aca="false">'📝 Grille'!B18</f>
        <v>PRIMES EXC. — FISCALITE</v>
      </c>
      <c r="B18" s="13" t="str">
        <f aca="false">'📝 Grille'!C18</f>
        <v>Régime fiscal/social identique au 13ième mois (IR, CSS, IPRES, IPM) ?</v>
      </c>
      <c r="C18" s="22" t="n">
        <f aca="false">'📝 Grille'!E18</f>
        <v>0</v>
      </c>
    </row>
    <row r="19" customFormat="false" ht="49.5" hidden="false" customHeight="true" outlineLevel="0" collapsed="false">
      <c r="A19" s="21" t="str">
        <f aca="false">'📝 Grille'!B19</f>
        <v>PRIMES EXC. — WORKFLOW</v>
      </c>
      <c r="B19" s="13" t="str">
        <f aca="false">'📝 Grille'!C19</f>
        <v>Qui valide l'attribution d'une prime exceptionnelle avant intégration au bulletin ?</v>
      </c>
      <c r="C19" s="22" t="n">
        <f aca="false">'📝 Grille'!E19</f>
        <v>0</v>
      </c>
    </row>
    <row r="20" customFormat="false" ht="49.5" hidden="false" customHeight="true" outlineLevel="0" collapsed="false">
      <c r="A20" s="21" t="str">
        <f aca="false">'📝 Grille'!B20</f>
        <v>PRIMES EXC. — REPORTING</v>
      </c>
      <c r="B20" s="13" t="str">
        <f aca="false">'📝 Grille'!C20</f>
        <v>Souhaitez-vous une vue 'Provision Primes' annuelle (comme la Provision Congés V1.7) pour piloter le budget ?</v>
      </c>
      <c r="C20" s="22" t="n">
        <f aca="false">'📝 Grille'!E20</f>
        <v>0</v>
      </c>
    </row>
    <row r="21" customFormat="false" ht="49.5" hidden="false" customHeight="true" outlineLevel="0" collapsed="false">
      <c r="A21" s="21" t="str">
        <f aca="false">'📝 Grille'!B21</f>
        <v>DIVERS</v>
      </c>
      <c r="B21" s="13" t="str">
        <f aca="false">'📝 Grille'!C21</f>
        <v>Y a-t-il d'autres types de bonus à intégrer : prime de transport, gratification mariage/naissance, prime de fin de chantier, etc. ?</v>
      </c>
      <c r="C21" s="22" t="n">
        <f aca="false">'📝 Grille'!E21</f>
        <v>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2026-05-11T06:59:45Z</dcterms:created>
  <dc:creator>openpyxl</dc:creator>
  <dc:description/>
  <dc:language>en-US</dc:language>
  <cp:lastModifiedBy/>
  <dcterms:modified xsi:type="dcterms:W3CDTF">2026-05-11T06:59:45Z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